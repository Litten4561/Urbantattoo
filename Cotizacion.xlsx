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<sst xmlns="http://schemas.openxmlformats.org/spreadsheetml/2006/main" count="16" uniqueCount="16">
  <si>
    <t>1 mes</t>
  </si>
  <si>
    <t>2 meses</t>
  </si>
  <si>
    <t xml:space="preserve">3 meses </t>
  </si>
  <si>
    <t>4 meses</t>
  </si>
  <si>
    <t>5 meses</t>
  </si>
  <si>
    <t>Analisis</t>
  </si>
  <si>
    <t>Diseño</t>
  </si>
  <si>
    <t>Desarrollo</t>
  </si>
  <si>
    <t>Pruebas</t>
  </si>
  <si>
    <t>implementacion</t>
  </si>
  <si>
    <t>Mantenimiento</t>
  </si>
  <si>
    <t xml:space="preserve">luz </t>
  </si>
  <si>
    <t>agua</t>
  </si>
  <si>
    <t>Programadores</t>
  </si>
  <si>
    <t>Otros = 9%</t>
  </si>
  <si>
    <t>total=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</si>
</sst>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color theme="1"/>
      <name val="Oswald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ht="40.5" customHeight="1">
      <c r="A2" s="2" t="s">
        <v>5</v>
      </c>
      <c r="B2" s="3">
        <v>250000.0</v>
      </c>
      <c r="C2" s="4">
        <f t="shared" ref="C2:C9" si="1">B2*2</f>
        <v>500000</v>
      </c>
      <c r="D2" s="4">
        <f t="shared" ref="D2:D9" si="2">B2*3</f>
        <v>750000</v>
      </c>
      <c r="E2" s="4">
        <f t="shared" ref="E2:E9" si="3">B2*4</f>
        <v>1000000</v>
      </c>
      <c r="F2" s="4">
        <f t="shared" ref="F2:F9" si="4">B2*5</f>
        <v>1250000</v>
      </c>
      <c r="G2" s="5"/>
      <c r="H2" s="5"/>
      <c r="I2" s="6"/>
      <c r="L2" s="5"/>
    </row>
    <row r="3" ht="31.5" customHeight="1">
      <c r="A3" s="2" t="s">
        <v>6</v>
      </c>
      <c r="B3" s="3">
        <v>300000.0</v>
      </c>
      <c r="C3" s="4">
        <f t="shared" si="1"/>
        <v>600000</v>
      </c>
      <c r="D3" s="4">
        <f t="shared" si="2"/>
        <v>900000</v>
      </c>
      <c r="E3" s="4">
        <f t="shared" si="3"/>
        <v>1200000</v>
      </c>
      <c r="F3" s="4">
        <f t="shared" si="4"/>
        <v>1500000</v>
      </c>
      <c r="G3" s="5"/>
      <c r="H3" s="5"/>
      <c r="I3" s="7"/>
    </row>
    <row r="4" ht="32.25" customHeight="1">
      <c r="A4" s="2" t="s">
        <v>7</v>
      </c>
      <c r="B4" s="3">
        <v>1400000.0</v>
      </c>
      <c r="C4" s="4">
        <f t="shared" si="1"/>
        <v>2800000</v>
      </c>
      <c r="D4" s="4">
        <f t="shared" si="2"/>
        <v>4200000</v>
      </c>
      <c r="E4" s="4">
        <f t="shared" si="3"/>
        <v>5600000</v>
      </c>
      <c r="F4" s="4">
        <f t="shared" si="4"/>
        <v>7000000</v>
      </c>
      <c r="G4" s="5"/>
      <c r="H4" s="5"/>
      <c r="I4" s="7"/>
    </row>
    <row r="5" ht="32.25" customHeight="1">
      <c r="A5" s="2" t="s">
        <v>8</v>
      </c>
      <c r="B5" s="3">
        <v>500000.0</v>
      </c>
      <c r="C5" s="4">
        <f t="shared" si="1"/>
        <v>1000000</v>
      </c>
      <c r="D5" s="4">
        <f t="shared" si="2"/>
        <v>1500000</v>
      </c>
      <c r="E5" s="4">
        <f t="shared" si="3"/>
        <v>2000000</v>
      </c>
      <c r="F5" s="4">
        <f t="shared" si="4"/>
        <v>2500000</v>
      </c>
      <c r="G5" s="5"/>
      <c r="H5" s="5"/>
    </row>
    <row r="6" ht="33.0" customHeight="1">
      <c r="A6" s="2" t="s">
        <v>9</v>
      </c>
      <c r="B6" s="3">
        <v>2500000.0</v>
      </c>
      <c r="C6" s="4">
        <f t="shared" si="1"/>
        <v>5000000</v>
      </c>
      <c r="D6" s="4">
        <f t="shared" si="2"/>
        <v>7500000</v>
      </c>
      <c r="E6" s="4">
        <f t="shared" si="3"/>
        <v>10000000</v>
      </c>
      <c r="F6" s="4">
        <f t="shared" si="4"/>
        <v>12500000</v>
      </c>
      <c r="G6" s="5"/>
      <c r="H6" s="5"/>
      <c r="I6" s="8"/>
      <c r="J6" s="8"/>
      <c r="K6" s="9"/>
    </row>
    <row r="7" ht="31.5" customHeight="1">
      <c r="A7" s="2" t="s">
        <v>10</v>
      </c>
      <c r="B7" s="3">
        <v>90000.0</v>
      </c>
      <c r="C7" s="4">
        <f t="shared" si="1"/>
        <v>180000</v>
      </c>
      <c r="D7" s="4">
        <f t="shared" si="2"/>
        <v>270000</v>
      </c>
      <c r="E7" s="4">
        <f t="shared" si="3"/>
        <v>360000</v>
      </c>
      <c r="F7" s="4">
        <f t="shared" si="4"/>
        <v>450000</v>
      </c>
      <c r="G7" s="5"/>
      <c r="H7" s="5"/>
      <c r="I7" s="6"/>
      <c r="J7" s="6"/>
    </row>
    <row r="8" ht="25.5" customHeight="1">
      <c r="A8" s="10" t="s">
        <v>11</v>
      </c>
      <c r="B8" s="3">
        <v>230000.0</v>
      </c>
      <c r="C8" s="4">
        <f t="shared" si="1"/>
        <v>460000</v>
      </c>
      <c r="D8" s="4">
        <f t="shared" si="2"/>
        <v>690000</v>
      </c>
      <c r="E8" s="4">
        <f t="shared" si="3"/>
        <v>920000</v>
      </c>
      <c r="F8" s="4">
        <f t="shared" si="4"/>
        <v>1150000</v>
      </c>
      <c r="G8" s="5"/>
      <c r="H8" s="5"/>
      <c r="I8" s="5"/>
      <c r="J8" s="5"/>
    </row>
    <row r="9" ht="27.0" customHeight="1">
      <c r="A9" s="10" t="s">
        <v>12</v>
      </c>
      <c r="B9" s="3">
        <v>90000.0</v>
      </c>
      <c r="C9" s="4">
        <f t="shared" si="1"/>
        <v>180000</v>
      </c>
      <c r="D9" s="4">
        <f t="shared" si="2"/>
        <v>270000</v>
      </c>
      <c r="E9" s="4">
        <f t="shared" si="3"/>
        <v>360000</v>
      </c>
      <c r="F9" s="4">
        <f t="shared" si="4"/>
        <v>450000</v>
      </c>
      <c r="I9" s="5"/>
      <c r="J9" s="5"/>
    </row>
    <row r="10">
      <c r="A10" s="11"/>
      <c r="B10" s="12"/>
      <c r="C10" s="12"/>
      <c r="D10" s="12"/>
      <c r="E10" s="12"/>
      <c r="F10" s="12"/>
      <c r="I10" s="5"/>
      <c r="J10" s="5"/>
    </row>
    <row r="11">
      <c r="A11" s="13" t="s">
        <v>13</v>
      </c>
      <c r="B11" s="4">
        <f>4*3500000</f>
        <v>14000000</v>
      </c>
      <c r="C11" s="4">
        <f t="shared" ref="C11:C12" si="5">B11*2</f>
        <v>28000000</v>
      </c>
      <c r="D11" s="4">
        <f t="shared" ref="D11:D12" si="6">B11*3</f>
        <v>42000000</v>
      </c>
      <c r="E11" s="4">
        <f t="shared" ref="E11:E12" si="7">B11*4</f>
        <v>56000000</v>
      </c>
      <c r="F11" s="4">
        <f t="shared" ref="F11:F12" si="8">B11*5</f>
        <v>70000000</v>
      </c>
    </row>
    <row r="12">
      <c r="A12" s="10" t="s">
        <v>14</v>
      </c>
      <c r="B12" s="4">
        <f>(1800000*9)/100</f>
        <v>162000</v>
      </c>
      <c r="C12" s="4">
        <f t="shared" si="5"/>
        <v>324000</v>
      </c>
      <c r="D12" s="4">
        <f t="shared" si="6"/>
        <v>486000</v>
      </c>
      <c r="E12" s="4">
        <f t="shared" si="7"/>
        <v>648000</v>
      </c>
      <c r="F12" s="4">
        <f t="shared" si="8"/>
        <v>810000</v>
      </c>
    </row>
    <row r="13">
      <c r="A13" s="11"/>
      <c r="B13" s="12"/>
      <c r="C13" s="12"/>
      <c r="D13" s="12"/>
      <c r="E13" s="12"/>
      <c r="F13" s="12"/>
      <c r="G13" s="5"/>
      <c r="H13" s="5"/>
    </row>
    <row r="14">
      <c r="A14" s="2" t="s">
        <v>15</v>
      </c>
      <c r="B14" s="4">
        <f t="shared" ref="B14:F14" si="9">B2+B3+B4+B5+B6+B7+B12+B8+B9+B11</f>
        <v>19522000</v>
      </c>
      <c r="C14" s="4">
        <f t="shared" si="9"/>
        <v>39044000</v>
      </c>
      <c r="D14" s="4">
        <f t="shared" si="9"/>
        <v>58566000</v>
      </c>
      <c r="E14" s="4">
        <f t="shared" si="9"/>
        <v>78088000</v>
      </c>
      <c r="F14" s="4">
        <f t="shared" si="9"/>
        <v>97610000</v>
      </c>
    </row>
  </sheetData>
  <drawing r:id="rId1"/>
</worksheet>
</file>